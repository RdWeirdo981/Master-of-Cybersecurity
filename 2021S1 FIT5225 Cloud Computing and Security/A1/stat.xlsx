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summe\Desktop\5225 Cloud\A1\"/>
    </mc:Choice>
  </mc:AlternateContent>
  <xr:revisionPtr revIDLastSave="0" documentId="13_ncr:1_{2305F9D8-6804-43D8-8962-95665A9F3123}" xr6:coauthVersionLast="46" xr6:coauthVersionMax="46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  <c r="D17" i="1"/>
  <c r="E17" i="1"/>
  <c r="F17" i="1"/>
  <c r="G17" i="1"/>
  <c r="H17" i="1"/>
  <c r="B17" i="1"/>
  <c r="H11" i="1"/>
  <c r="C11" i="1"/>
  <c r="D11" i="1"/>
  <c r="E11" i="1"/>
  <c r="F11" i="1"/>
  <c r="G11" i="1"/>
  <c r="B11" i="1"/>
  <c r="C5" i="1"/>
  <c r="D5" i="1"/>
  <c r="E5" i="1"/>
  <c r="F5" i="1"/>
  <c r="G5" i="1"/>
  <c r="H5" i="1"/>
  <c r="B5" i="1"/>
</calcChain>
</file>

<file path=xl/sharedStrings.xml><?xml version="1.0" encoding="utf-8"?>
<sst xmlns="http://schemas.openxmlformats.org/spreadsheetml/2006/main" count="7" uniqueCount="5">
  <si>
    <t>pod=1</t>
  </si>
  <si>
    <t>mean</t>
  </si>
  <si>
    <t>pod=2</t>
  </si>
  <si>
    <t>pod=3</t>
  </si>
  <si>
    <t>pod\thread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</si>
</sst>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Mean Average Response Time vs. Number of Threads under Different Pod Number </a:t>
            </a:r>
            <a:endParaRPr lang="en-US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cap="none" baseline="0">
              <a:solidFill>
                <a:sysClr val="window" lastClr="FFFFFF">
                  <a:lumMod val="8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 Pod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Lbl>
              <c:idx val="0"/>
              <c:layout>
                <c:manualLayout>
                  <c:x val="2.1725281393374728E-2"/>
                  <c:y val="4.21352753626680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95D-4C43-BF25-CCA4B34E4B7E}"/>
                </c:ext>
              </c:extLst>
            </c:dLbl>
            <c:dLbl>
              <c:idx val="1"/>
              <c:layout>
                <c:manualLayout>
                  <c:x val="-1.3641741918824024E-2"/>
                  <c:y val="-4.03135498320269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95D-4C43-BF25-CCA4B34E4B7E}"/>
                </c:ext>
              </c:extLst>
            </c:dLbl>
            <c:dLbl>
              <c:idx val="2"/>
              <c:layout>
                <c:manualLayout>
                  <c:x val="-2.413611294182948E-2"/>
                  <c:y val="-4.4792833146696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95D-4C43-BF25-CCA4B34E4B7E}"/>
                </c:ext>
              </c:extLst>
            </c:dLbl>
            <c:dLbl>
              <c:idx val="3"/>
              <c:layout>
                <c:manualLayout>
                  <c:x val="-1.3641741918823952E-2"/>
                  <c:y val="-3.3594624860022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95D-4C43-BF25-CCA4B34E4B7E}"/>
                </c:ext>
              </c:extLst>
            </c:dLbl>
            <c:dLbl>
              <c:idx val="4"/>
              <c:layout>
                <c:manualLayout>
                  <c:x val="-2.0494409564443213E-2"/>
                  <c:y val="-4.47928331466965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95D-4C43-BF25-CCA4B34E4B7E}"/>
                </c:ext>
              </c:extLst>
            </c:dLbl>
            <c:dLbl>
              <c:idx val="5"/>
              <c:layout>
                <c:manualLayout>
                  <c:x val="-2.8051923025040372E-2"/>
                  <c:y val="-2.91153415453527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95D-4C43-BF25-CCA4B34E4B7E}"/>
                </c:ext>
              </c:extLst>
            </c:dLbl>
            <c:dLbl>
              <c:idx val="6"/>
              <c:layout>
                <c:manualLayout>
                  <c:x val="-2.8326029730865138E-2"/>
                  <c:y val="-2.68756998880179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95D-4C43-BF25-CCA4B34E4B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Sheet1!$A$19:$H$19</c15:sqref>
                  </c15:fullRef>
                </c:ext>
              </c:extLst>
              <c:f>Sheet1!$B$19:$H$19</c:f>
              <c:strCache>
                <c:ptCount val="7"/>
                <c:pt idx="0">
                  <c:v>1</c:v>
                </c:pt>
                <c:pt idx="1">
                  <c:v>6</c:v>
                </c:pt>
                <c:pt idx="2">
                  <c:v>11</c:v>
                </c:pt>
                <c:pt idx="3">
                  <c:v>16</c:v>
                </c:pt>
                <c:pt idx="4">
                  <c:v>21</c:v>
                </c:pt>
                <c:pt idx="5">
                  <c:v>26</c:v>
                </c:pt>
                <c:pt idx="6">
                  <c:v>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Sheet1!$A$20:$H$20</c15:sqref>
                  </c15:fullRef>
                </c:ext>
              </c:extLst>
              <c:f>Sheet1!$B$20:$H$20</c:f>
              <c:numCache>
                <c:formatCode>General</c:formatCode>
                <c:ptCount val="7"/>
                <c:pt idx="0">
                  <c:v>1.6055584233254165</c:v>
                </c:pt>
                <c:pt idx="1">
                  <c:v>0.59871826320886568</c:v>
                </c:pt>
                <c:pt idx="2">
                  <c:v>0.629976634557048</c:v>
                </c:pt>
                <c:pt idx="3">
                  <c:v>0.637459858631094</c:v>
                </c:pt>
                <c:pt idx="4">
                  <c:v>0.64588424501319674</c:v>
                </c:pt>
                <c:pt idx="5">
                  <c:v>0.64348925898472442</c:v>
                </c:pt>
                <c:pt idx="6">
                  <c:v>0.69453400435546964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DD-445B-B6E6-4AB8498138F4}"/>
            </c:ext>
          </c:extLst>
        </c:ser>
        <c:ser>
          <c:idx val="1"/>
          <c:order val="1"/>
          <c:tx>
            <c:v>2 Pods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Lbl>
              <c:idx val="0"/>
              <c:layout>
                <c:manualLayout>
                  <c:x val="-3.3264692675910368E-2"/>
                  <c:y val="-4.65485656631905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95D-4C43-BF25-CCA4B34E4B7E}"/>
                </c:ext>
              </c:extLst>
            </c:dLbl>
            <c:dLbl>
              <c:idx val="1"/>
              <c:layout>
                <c:manualLayout>
                  <c:x val="2.0214984140198332E-3"/>
                  <c:y val="-4.25531914893617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95D-4C43-BF25-CCA4B34E4B7E}"/>
                </c:ext>
              </c:extLst>
            </c:dLbl>
            <c:dLbl>
              <c:idx val="2"/>
              <c:layout>
                <c:manualLayout>
                  <c:x val="-3.0283934772470621E-2"/>
                  <c:y val="-2.91153415453527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95D-4C43-BF25-CCA4B34E4B7E}"/>
                </c:ext>
              </c:extLst>
            </c:dLbl>
            <c:dLbl>
              <c:idx val="3"/>
              <c:layout>
                <c:manualLayout>
                  <c:x val="-3.126288729327336E-2"/>
                  <c:y val="-2.91153415453528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95D-4C43-BF25-CCA4B34E4B7E}"/>
                </c:ext>
              </c:extLst>
            </c:dLbl>
            <c:dLbl>
              <c:idx val="4"/>
              <c:layout>
                <c:manualLayout>
                  <c:x val="-3.1262887293273436E-2"/>
                  <c:y val="-3.135498320268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95D-4C43-BF25-CCA4B34E4B7E}"/>
                </c:ext>
              </c:extLst>
            </c:dLbl>
            <c:dLbl>
              <c:idx val="5"/>
              <c:layout>
                <c:manualLayout>
                  <c:x val="-3.2241839814076106E-2"/>
                  <c:y val="-2.46360582306831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95D-4C43-BF25-CCA4B34E4B7E}"/>
                </c:ext>
              </c:extLst>
            </c:dLbl>
            <c:dLbl>
              <c:idx val="6"/>
              <c:layout>
                <c:manualLayout>
                  <c:x val="-3.4199744855681731E-2"/>
                  <c:y val="-2.91153415453526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95D-4C43-BF25-CCA4B34E4B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Sheet1!$A$19:$H$19</c15:sqref>
                  </c15:fullRef>
                </c:ext>
              </c:extLst>
              <c:f>Sheet1!$B$19:$H$19</c:f>
              <c:strCache>
                <c:ptCount val="7"/>
                <c:pt idx="0">
                  <c:v>1</c:v>
                </c:pt>
                <c:pt idx="1">
                  <c:v>6</c:v>
                </c:pt>
                <c:pt idx="2">
                  <c:v>11</c:v>
                </c:pt>
                <c:pt idx="3">
                  <c:v>16</c:v>
                </c:pt>
                <c:pt idx="4">
                  <c:v>21</c:v>
                </c:pt>
                <c:pt idx="5">
                  <c:v>26</c:v>
                </c:pt>
                <c:pt idx="6">
                  <c:v>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Sheet1!$A$21:$H$21</c15:sqref>
                  </c15:fullRef>
                </c:ext>
              </c:extLst>
              <c:f>Sheet1!$B$21:$H$21</c:f>
              <c:numCache>
                <c:formatCode>General</c:formatCode>
                <c:ptCount val="7"/>
                <c:pt idx="0">
                  <c:v>1.5825132597237765</c:v>
                </c:pt>
                <c:pt idx="1">
                  <c:v>0.38967509133120332</c:v>
                </c:pt>
                <c:pt idx="2">
                  <c:v>0.3543888734032703</c:v>
                </c:pt>
                <c:pt idx="3">
                  <c:v>0.34344721523423966</c:v>
                </c:pt>
                <c:pt idx="4">
                  <c:v>0.3705929648131126</c:v>
                </c:pt>
                <c:pt idx="5">
                  <c:v>0.40076021105051002</c:v>
                </c:pt>
                <c:pt idx="6">
                  <c:v>0.43962721961239931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DD-445B-B6E6-4AB8498138F4}"/>
            </c:ext>
          </c:extLst>
        </c:ser>
        <c:ser>
          <c:idx val="2"/>
          <c:order val="2"/>
          <c:tx>
            <c:v>3 Pods</c:v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dLbls>
            <c:dLbl>
              <c:idx val="0"/>
              <c:layout>
                <c:manualLayout>
                  <c:x val="-5.3781551654519796E-2"/>
                  <c:y val="4.07975283897985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95D-4C43-BF25-CCA4B34E4B7E}"/>
                </c:ext>
              </c:extLst>
            </c:dLbl>
            <c:dLbl>
              <c:idx val="1"/>
              <c:layout>
                <c:manualLayout>
                  <c:x val="-5.9652510396552852E-2"/>
                  <c:y val="3.58342665173572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95D-4C43-BF25-CCA4B34E4B7E}"/>
                </c:ext>
              </c:extLst>
            </c:dLbl>
            <c:dLbl>
              <c:idx val="2"/>
              <c:layout>
                <c:manualLayout>
                  <c:x val="-2.9304982251667881E-2"/>
                  <c:y val="2.01567749160134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95D-4C43-BF25-CCA4B34E4B7E}"/>
                </c:ext>
              </c:extLst>
            </c:dLbl>
            <c:dLbl>
              <c:idx val="3"/>
              <c:layout>
                <c:manualLayout>
                  <c:x val="-3.0283934772470621E-2"/>
                  <c:y val="2.01567749160134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95D-4C43-BF25-CCA4B34E4B7E}"/>
                </c:ext>
              </c:extLst>
            </c:dLbl>
            <c:dLbl>
              <c:idx val="4"/>
              <c:layout>
                <c:manualLayout>
                  <c:x val="-2.9304982251667881E-2"/>
                  <c:y val="2.68756998880179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95D-4C43-BF25-CCA4B34E4B7E}"/>
                </c:ext>
              </c:extLst>
            </c:dLbl>
            <c:dLbl>
              <c:idx val="5"/>
              <c:layout>
                <c:manualLayout>
                  <c:x val="-3.0283934772470621E-2"/>
                  <c:y val="3.58342665173572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95D-4C43-BF25-CCA4B34E4B7E}"/>
                </c:ext>
              </c:extLst>
            </c:dLbl>
            <c:dLbl>
              <c:idx val="6"/>
              <c:layout>
                <c:manualLayout>
                  <c:x val="-3.1262887293273506E-2"/>
                  <c:y val="4.03135498320267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95D-4C43-BF25-CCA4B34E4B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Sheet1!$A$19:$H$19</c15:sqref>
                  </c15:fullRef>
                </c:ext>
              </c:extLst>
              <c:f>Sheet1!$B$19:$H$19</c:f>
              <c:strCache>
                <c:ptCount val="7"/>
                <c:pt idx="0">
                  <c:v>1</c:v>
                </c:pt>
                <c:pt idx="1">
                  <c:v>6</c:v>
                </c:pt>
                <c:pt idx="2">
                  <c:v>11</c:v>
                </c:pt>
                <c:pt idx="3">
                  <c:v>16</c:v>
                </c:pt>
                <c:pt idx="4">
                  <c:v>21</c:v>
                </c:pt>
                <c:pt idx="5">
                  <c:v>26</c:v>
                </c:pt>
                <c:pt idx="6">
                  <c:v>31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Sheet1!$A$22:$H$22</c15:sqref>
                  </c15:fullRef>
                </c:ext>
              </c:extLst>
              <c:f>Sheet1!$B$22:$H$22</c:f>
              <c:numCache>
                <c:formatCode>General</c:formatCode>
                <c:ptCount val="7"/>
                <c:pt idx="0">
                  <c:v>1.7258870732039133</c:v>
                </c:pt>
                <c:pt idx="1">
                  <c:v>0.36381900434692671</c:v>
                </c:pt>
                <c:pt idx="2">
                  <c:v>0.27522326819598636</c:v>
                </c:pt>
                <c:pt idx="3">
                  <c:v>0.24681351830561934</c:v>
                </c:pt>
                <c:pt idx="4">
                  <c:v>0.25528345194955598</c:v>
                </c:pt>
                <c:pt idx="5">
                  <c:v>0.30373905599117235</c:v>
                </c:pt>
                <c:pt idx="6">
                  <c:v>0.37544239747027502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DD-445B-B6E6-4AB849813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2431896"/>
        <c:axId val="402426648"/>
      </c:lineChart>
      <c:catAx>
        <c:axId val="4024318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Threads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426648"/>
        <c:crosses val="autoZero"/>
        <c:auto val="1"/>
        <c:lblAlgn val="ctr"/>
        <c:lblOffset val="100"/>
        <c:noMultiLvlLbl val="0"/>
      </c:catAx>
      <c:valAx>
        <c:axId val="402426648"/>
        <c:scaling>
          <c:orientation val="minMax"/>
          <c:max val="1.8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</a:t>
                </a:r>
                <a:r>
                  <a:rPr lang="en-US" baseline="0"/>
                  <a:t> Average Response Time [sec]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431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35</xdr:row>
      <xdr:rowOff>171449</xdr:rowOff>
    </xdr:from>
    <xdr:to>
      <xdr:col>18</xdr:col>
      <xdr:colOff>38100</xdr:colOff>
      <xdr:row>108</xdr:row>
      <xdr:rowOff>42333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593327-09D2-4A43-A1C6-06FE2A1B68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topLeftCell="A29" zoomScale="90" zoomScaleNormal="90" workbookViewId="0">
      <selection sqref="A1:H22"/>
    </sheetView>
  </sheetViews>
  <sheetFormatPr defaultRowHeight="14.5" x14ac:dyDescent="0.35"/>
  <cols>
    <col min="1" max="1" width="10.36328125" style="1" customWidth="1"/>
    <col min="2" max="2" width="11.81640625" customWidth="1"/>
    <col min="3" max="3" width="12.08984375" customWidth="1"/>
    <col min="4" max="4" width="14.54296875" customWidth="1"/>
    <col min="5" max="5" width="11" customWidth="1"/>
    <col min="6" max="6" width="12.453125" customWidth="1"/>
    <col min="7" max="7" width="12.6328125" customWidth="1"/>
    <col min="8" max="8" width="14.6328125" customWidth="1"/>
  </cols>
  <sheetData>
    <row r="1" spans="1:8" s="1" customFormat="1" x14ac:dyDescent="0.35">
      <c r="A1" s="2" t="s">
        <v>0</v>
      </c>
      <c r="B1" s="2">
        <v>1</v>
      </c>
      <c r="C1" s="2">
        <v>6</v>
      </c>
      <c r="D1" s="2">
        <v>11</v>
      </c>
      <c r="E1" s="2">
        <v>16</v>
      </c>
      <c r="F1" s="2">
        <v>21</v>
      </c>
      <c r="G1" s="2">
        <v>26</v>
      </c>
      <c r="H1" s="2">
        <v>31</v>
      </c>
    </row>
    <row r="2" spans="1:8" x14ac:dyDescent="0.35">
      <c r="A2" s="2">
        <v>1</v>
      </c>
      <c r="B2" s="3">
        <v>1.63232605345547</v>
      </c>
      <c r="C2" s="3">
        <v>0.60172667354345299</v>
      </c>
      <c r="D2" s="3">
        <v>0.63365444913506497</v>
      </c>
      <c r="E2" s="3">
        <v>0.65943199768662397</v>
      </c>
      <c r="F2" s="3">
        <v>0.64144772291183405</v>
      </c>
      <c r="G2" s="3">
        <v>0.66015458293259099</v>
      </c>
      <c r="H2" s="3">
        <v>0.70410976931452696</v>
      </c>
    </row>
    <row r="3" spans="1:8" x14ac:dyDescent="0.35">
      <c r="A3" s="2">
        <v>2</v>
      </c>
      <c r="B3" s="3">
        <v>1.5821315553039299</v>
      </c>
      <c r="C3" s="3">
        <v>0.60836429148912397</v>
      </c>
      <c r="D3" s="3">
        <v>0.62249399907886904</v>
      </c>
      <c r="E3" s="3">
        <v>0.62645739316940297</v>
      </c>
      <c r="F3" s="3">
        <v>0.64055130630731505</v>
      </c>
      <c r="G3" s="3">
        <v>0.62253237329423405</v>
      </c>
      <c r="H3" s="3">
        <v>0.67652007192373198</v>
      </c>
    </row>
    <row r="4" spans="1:8" x14ac:dyDescent="0.35">
      <c r="A4" s="2">
        <v>3</v>
      </c>
      <c r="B4" s="3">
        <v>1.6022176612168499</v>
      </c>
      <c r="C4" s="3">
        <v>0.58606382459401996</v>
      </c>
      <c r="D4" s="3">
        <v>0.63378145545720999</v>
      </c>
      <c r="E4" s="3">
        <v>0.62649018503725495</v>
      </c>
      <c r="F4" s="3">
        <v>0.65565370582044102</v>
      </c>
      <c r="G4" s="3">
        <v>0.64778082072734799</v>
      </c>
      <c r="H4" s="3">
        <v>0.70297217182814997</v>
      </c>
    </row>
    <row r="5" spans="1:8" x14ac:dyDescent="0.35">
      <c r="A5" s="2" t="s">
        <v>1</v>
      </c>
      <c r="B5" s="3">
        <f>AVERAGEA(B2:B4)</f>
        <v>1.6055584233254165</v>
      </c>
      <c r="C5" s="3">
        <f t="shared" ref="C5:H5" si="0">AVERAGEA(C2:C4)</f>
        <v>0.59871826320886568</v>
      </c>
      <c r="D5" s="3">
        <f t="shared" si="0"/>
        <v>0.629976634557048</v>
      </c>
      <c r="E5" s="3">
        <f t="shared" si="0"/>
        <v>0.637459858631094</v>
      </c>
      <c r="F5" s="3">
        <f t="shared" si="0"/>
        <v>0.64588424501319674</v>
      </c>
      <c r="G5" s="3">
        <f t="shared" si="0"/>
        <v>0.64348925898472442</v>
      </c>
      <c r="H5" s="3">
        <f t="shared" si="0"/>
        <v>0.69453400435546964</v>
      </c>
    </row>
    <row r="6" spans="1:8" x14ac:dyDescent="0.35">
      <c r="A6" s="4"/>
      <c r="B6" s="3"/>
      <c r="C6" s="3"/>
      <c r="D6" s="3"/>
      <c r="E6" s="3"/>
      <c r="F6" s="3"/>
      <c r="G6" s="3"/>
      <c r="H6" s="3"/>
    </row>
    <row r="7" spans="1:8" s="1" customFormat="1" x14ac:dyDescent="0.35">
      <c r="A7" s="2" t="s">
        <v>2</v>
      </c>
      <c r="B7" s="2">
        <v>1</v>
      </c>
      <c r="C7" s="2">
        <v>6</v>
      </c>
      <c r="D7" s="2">
        <v>11</v>
      </c>
      <c r="E7" s="2">
        <v>16</v>
      </c>
      <c r="F7" s="2">
        <v>21</v>
      </c>
      <c r="G7" s="2">
        <v>26</v>
      </c>
      <c r="H7" s="2">
        <v>31</v>
      </c>
    </row>
    <row r="8" spans="1:8" x14ac:dyDescent="0.35">
      <c r="A8" s="2">
        <v>1</v>
      </c>
      <c r="B8" s="3">
        <v>1.6015352606773301</v>
      </c>
      <c r="C8" s="3">
        <v>0.38908829353749702</v>
      </c>
      <c r="D8" s="3">
        <v>0.35998892970383101</v>
      </c>
      <c r="E8" s="3">
        <v>0.34450082294642898</v>
      </c>
      <c r="F8" s="3">
        <v>0.38690393418073599</v>
      </c>
      <c r="G8" s="3">
        <v>0.45161789655685403</v>
      </c>
      <c r="H8" s="3">
        <v>0.42297358624637099</v>
      </c>
    </row>
    <row r="9" spans="1:8" x14ac:dyDescent="0.35">
      <c r="A9" s="2">
        <v>2</v>
      </c>
      <c r="B9" s="3">
        <v>1.5603509396314601</v>
      </c>
      <c r="C9" s="3">
        <v>0.39222138375043802</v>
      </c>
      <c r="D9" s="3">
        <v>0.35864822939038199</v>
      </c>
      <c r="E9" s="3">
        <v>0.361143227666616</v>
      </c>
      <c r="F9" s="3">
        <v>0.33345934748649497</v>
      </c>
      <c r="G9" s="3">
        <v>0.34763007238507199</v>
      </c>
      <c r="H9" s="3">
        <v>0.45926188491284797</v>
      </c>
    </row>
    <row r="10" spans="1:8" x14ac:dyDescent="0.35">
      <c r="A10" s="2">
        <v>3</v>
      </c>
      <c r="B10" s="3">
        <v>1.5856535788625401</v>
      </c>
      <c r="C10" s="3">
        <v>0.38771559670567501</v>
      </c>
      <c r="D10" s="3">
        <v>0.34452946111559801</v>
      </c>
      <c r="E10" s="3">
        <v>0.324697595089674</v>
      </c>
      <c r="F10" s="3">
        <v>0.39141561277210701</v>
      </c>
      <c r="G10" s="3">
        <v>0.40303266420960399</v>
      </c>
      <c r="H10" s="3">
        <v>0.43664618767797903</v>
      </c>
    </row>
    <row r="11" spans="1:8" x14ac:dyDescent="0.35">
      <c r="A11" s="2" t="s">
        <v>1</v>
      </c>
      <c r="B11" s="3">
        <f>AVERAGE(B8:B10)</f>
        <v>1.5825132597237765</v>
      </c>
      <c r="C11" s="3">
        <f t="shared" ref="C11:G11" si="1">AVERAGE(C8:C10)</f>
        <v>0.38967509133120332</v>
      </c>
      <c r="D11" s="3">
        <f t="shared" si="1"/>
        <v>0.3543888734032703</v>
      </c>
      <c r="E11" s="3">
        <f t="shared" si="1"/>
        <v>0.34344721523423966</v>
      </c>
      <c r="F11" s="3">
        <f t="shared" si="1"/>
        <v>0.3705929648131126</v>
      </c>
      <c r="G11" s="3">
        <f t="shared" si="1"/>
        <v>0.40076021105051002</v>
      </c>
      <c r="H11" s="3">
        <f>AVERAGE(H8:H10)</f>
        <v>0.43962721961239931</v>
      </c>
    </row>
    <row r="12" spans="1:8" x14ac:dyDescent="0.35">
      <c r="A12" s="4"/>
      <c r="B12" s="3"/>
      <c r="C12" s="3"/>
      <c r="D12" s="3"/>
      <c r="E12" s="3"/>
      <c r="F12" s="3"/>
      <c r="G12" s="3"/>
      <c r="H12" s="3"/>
    </row>
    <row r="13" spans="1:8" s="1" customFormat="1" x14ac:dyDescent="0.35">
      <c r="A13" s="2" t="s">
        <v>3</v>
      </c>
      <c r="B13" s="2">
        <v>1</v>
      </c>
      <c r="C13" s="2">
        <v>6</v>
      </c>
      <c r="D13" s="2">
        <v>11</v>
      </c>
      <c r="E13" s="2">
        <v>16</v>
      </c>
      <c r="F13" s="2">
        <v>21</v>
      </c>
      <c r="G13" s="2">
        <v>26</v>
      </c>
      <c r="H13" s="2">
        <v>31</v>
      </c>
    </row>
    <row r="14" spans="1:8" x14ac:dyDescent="0.35">
      <c r="A14" s="2">
        <v>1</v>
      </c>
      <c r="B14" s="3">
        <v>1.7300032433122301</v>
      </c>
      <c r="C14" s="3">
        <v>0.35209448263049098</v>
      </c>
      <c r="D14" s="3">
        <v>0.28566991724073798</v>
      </c>
      <c r="E14" s="3">
        <v>0.25213861465454102</v>
      </c>
      <c r="F14" s="3">
        <v>0.24016886949539101</v>
      </c>
      <c r="G14" s="3">
        <v>0.28577759116888002</v>
      </c>
      <c r="H14" s="3">
        <v>0.35135282762348602</v>
      </c>
    </row>
    <row r="15" spans="1:8" x14ac:dyDescent="0.35">
      <c r="A15" s="2">
        <v>2</v>
      </c>
      <c r="B15" s="3">
        <v>1.5864260289818</v>
      </c>
      <c r="C15" s="3">
        <v>0.36267486773431301</v>
      </c>
      <c r="D15" s="3">
        <v>0.26749124377965899</v>
      </c>
      <c r="E15" s="3">
        <v>0.249420596286654</v>
      </c>
      <c r="F15" s="3">
        <v>0.26855266466736699</v>
      </c>
      <c r="G15" s="3">
        <v>0.31252396106719899</v>
      </c>
      <c r="H15" s="3">
        <v>0.38354350440204099</v>
      </c>
    </row>
    <row r="16" spans="1:8" x14ac:dyDescent="0.35">
      <c r="A16" s="2">
        <v>3</v>
      </c>
      <c r="B16" s="3">
        <v>1.8612319473177099</v>
      </c>
      <c r="C16" s="3">
        <v>0.37668766267597598</v>
      </c>
      <c r="D16" s="3">
        <v>0.27250864356756199</v>
      </c>
      <c r="E16" s="3">
        <v>0.23888134397566299</v>
      </c>
      <c r="F16" s="3">
        <v>0.25712882168591</v>
      </c>
      <c r="G16" s="3">
        <v>0.31291561573743798</v>
      </c>
      <c r="H16" s="3">
        <v>0.39143086038529801</v>
      </c>
    </row>
    <row r="17" spans="1:8" x14ac:dyDescent="0.35">
      <c r="A17" s="2" t="s">
        <v>1</v>
      </c>
      <c r="B17" s="3">
        <f>AVERAGE(B14:B16)</f>
        <v>1.7258870732039133</v>
      </c>
      <c r="C17" s="3">
        <f t="shared" ref="C17:H17" si="2">AVERAGE(C14:C16)</f>
        <v>0.36381900434692671</v>
      </c>
      <c r="D17" s="3">
        <f t="shared" si="2"/>
        <v>0.27522326819598636</v>
      </c>
      <c r="E17" s="3">
        <f t="shared" si="2"/>
        <v>0.24681351830561934</v>
      </c>
      <c r="F17" s="3">
        <f t="shared" si="2"/>
        <v>0.25528345194955598</v>
      </c>
      <c r="G17" s="3">
        <f t="shared" si="2"/>
        <v>0.30373905599117235</v>
      </c>
      <c r="H17" s="3">
        <f t="shared" si="2"/>
        <v>0.37544239747027502</v>
      </c>
    </row>
    <row r="18" spans="1:8" x14ac:dyDescent="0.35">
      <c r="A18" s="4"/>
      <c r="B18" s="3"/>
      <c r="C18" s="3"/>
      <c r="D18" s="3"/>
      <c r="E18" s="3"/>
      <c r="F18" s="3"/>
      <c r="G18" s="3"/>
      <c r="H18" s="3"/>
    </row>
    <row r="19" spans="1:8" s="1" customFormat="1" x14ac:dyDescent="0.35">
      <c r="A19" s="2" t="s">
        <v>4</v>
      </c>
      <c r="B19" s="2">
        <v>1</v>
      </c>
      <c r="C19" s="2">
        <v>6</v>
      </c>
      <c r="D19" s="2">
        <v>11</v>
      </c>
      <c r="E19" s="2">
        <v>16</v>
      </c>
      <c r="F19" s="2">
        <v>21</v>
      </c>
      <c r="G19" s="2">
        <v>26</v>
      </c>
      <c r="H19" s="2">
        <v>31</v>
      </c>
    </row>
    <row r="20" spans="1:8" x14ac:dyDescent="0.35">
      <c r="A20" s="2">
        <v>1</v>
      </c>
      <c r="B20" s="3">
        <v>1.6055584233254165</v>
      </c>
      <c r="C20" s="3">
        <v>0.59871826320886568</v>
      </c>
      <c r="D20" s="3">
        <v>0.629976634557048</v>
      </c>
      <c r="E20" s="3">
        <v>0.637459858631094</v>
      </c>
      <c r="F20" s="3">
        <v>0.64588424501319674</v>
      </c>
      <c r="G20" s="3">
        <v>0.64348925898472442</v>
      </c>
      <c r="H20" s="3">
        <v>0.69453400435546964</v>
      </c>
    </row>
    <row r="21" spans="1:8" x14ac:dyDescent="0.35">
      <c r="A21" s="2">
        <v>2</v>
      </c>
      <c r="B21" s="3">
        <v>1.5825132597237765</v>
      </c>
      <c r="C21" s="3">
        <v>0.38967509133120332</v>
      </c>
      <c r="D21" s="3">
        <v>0.3543888734032703</v>
      </c>
      <c r="E21" s="3">
        <v>0.34344721523423966</v>
      </c>
      <c r="F21" s="3">
        <v>0.3705929648131126</v>
      </c>
      <c r="G21" s="3">
        <v>0.40076021105051002</v>
      </c>
      <c r="H21" s="3">
        <v>0.43962721961239931</v>
      </c>
    </row>
    <row r="22" spans="1:8" x14ac:dyDescent="0.35">
      <c r="A22" s="2">
        <v>3</v>
      </c>
      <c r="B22" s="3">
        <v>1.7258870732039133</v>
      </c>
      <c r="C22" s="3">
        <v>0.36381900434692671</v>
      </c>
      <c r="D22" s="3">
        <v>0.27522326819598636</v>
      </c>
      <c r="E22" s="3">
        <v>0.24681351830561934</v>
      </c>
      <c r="F22" s="3">
        <v>0.25528345194955598</v>
      </c>
      <c r="G22" s="3">
        <v>0.30373905599117235</v>
      </c>
      <c r="H22" s="3">
        <v>0.37544239747027502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Daisy Cristata</dc:creator>
  <cp:lastModifiedBy>Daisy Cristata</cp:lastModifiedBy>
  <dcterms:created xsi:type="dcterms:W3CDTF">2015-06-05T18:17:20Z</dcterms:created>
  <dcterms:modified xsi:type="dcterms:W3CDTF">2021-04-19T09:39:37Z</dcterms:modified>
</cp:coreProperties>
</file>